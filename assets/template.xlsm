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filterPrivacy="1" codeName="ЭтаКнига1"/>
  <xr:revisionPtr revIDLastSave="0" documentId="13_ncr:1_{69481A4D-3BCE-A144-9FDC-0508261920AF}" xr6:coauthVersionLast="47" xr6:coauthVersionMax="47" xr10:uidLastSave="{00000000-0000-0000-0000-000000000000}"/>
  <bookViews>
    <workbookView xWindow="0" yWindow="500" windowWidth="28800" windowHeight="12340" activeTab="2" xr2:uid="{00000000-000D-0000-FFFF-FFFF00000000}"/>
  </bookViews>
  <sheets>
    <sheet name="Источник" sheetId="2" r:id="rId1"/>
    <sheet name="Коэффициенты" sheetId="4" r:id="rId2"/>
    <sheet name="Расчет" sheetId="3" r:id="rId3"/>
  </sheets>
  <functionGroups builtInGroupCount="19"/>
  <definedNames>
    <definedName name="ВстроеннаяВременнаяШкала_Дата">#N/A</definedName>
    <definedName name="Срез_Филиал">#N/A</definedName>
  </definedNames>
  <calcPr calcId="191029"/>
  <pivotCaches>
    <pivotCache cacheId="9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4" l="1"/>
  <c r="L10" i="3"/>
  <c r="K8" i="3"/>
  <c r="L12" i="3"/>
  <c r="L4" i="3"/>
  <c r="K10" i="3"/>
  <c r="N10" i="3" s="1"/>
  <c r="L7" i="3"/>
  <c r="K11" i="3"/>
  <c r="K4" i="3"/>
  <c r="N4" i="3" s="1"/>
  <c r="L5" i="3"/>
  <c r="K7" i="3"/>
  <c r="N7" i="3" s="1"/>
  <c r="L9" i="3"/>
  <c r="K12" i="3"/>
  <c r="N12" i="3" s="1"/>
  <c r="K5" i="3"/>
  <c r="N5" i="3" s="1"/>
  <c r="L6" i="3"/>
  <c r="K9" i="3"/>
  <c r="N9" i="3" s="1"/>
  <c r="L8" i="3"/>
  <c r="N8" i="3" s="1"/>
  <c r="K6" i="3"/>
  <c r="N6" i="3" s="1"/>
  <c r="L11" i="3"/>
  <c r="N11" i="3" s="1"/>
  <c r="K14" i="3" l="1"/>
  <c r="K13" i="3"/>
  <c r="L14" i="3"/>
  <c r="M14" i="3" s="1"/>
  <c r="L13" i="3"/>
  <c r="M13" i="3" s="1"/>
  <c r="M4" i="3"/>
  <c r="M10" i="3"/>
  <c r="M8" i="3"/>
  <c r="M6" i="3"/>
  <c r="M11" i="3"/>
  <c r="M9" i="3"/>
  <c r="M5" i="3"/>
  <c r="M7" i="3"/>
  <c r="M12" i="3"/>
</calcChain>
</file>

<file path=xl/sharedStrings.xml><?xml version="1.0" encoding="utf-8"?>
<sst xmlns="http://schemas.openxmlformats.org/spreadsheetml/2006/main" count="89" uniqueCount="29">
  <si>
    <t>№ п/п</t>
  </si>
  <si>
    <t>Филиал</t>
  </si>
  <si>
    <t>Дата</t>
  </si>
  <si>
    <t>Общий итог</t>
  </si>
  <si>
    <t>Температура прошлого периода, С</t>
  </si>
  <si>
    <t>Температура текущего периода, С</t>
  </si>
  <si>
    <t>Средняя температура прошлого года, C</t>
  </si>
  <si>
    <t>Средняя температура текущего года года, C</t>
  </si>
  <si>
    <t>Данамика температуры, C</t>
  </si>
  <si>
    <t>Тываэнерго</t>
  </si>
  <si>
    <t>Хакасэнерго</t>
  </si>
  <si>
    <t>ГАЭС</t>
  </si>
  <si>
    <t>Алтайэнерго</t>
  </si>
  <si>
    <t>Читаэнерго</t>
  </si>
  <si>
    <t>Кузбассэнерго</t>
  </si>
  <si>
    <t>Бурятэнерго</t>
  </si>
  <si>
    <t>Красноярскэнерго</t>
  </si>
  <si>
    <t>Омскэнерго</t>
  </si>
  <si>
    <t>Нижняя граница</t>
  </si>
  <si>
    <t>Верхняя граница</t>
  </si>
  <si>
    <t>Значание</t>
  </si>
  <si>
    <t>Количество записей</t>
  </si>
  <si>
    <t>Кузбассэнерго-РЭС</t>
  </si>
  <si>
    <t>АО "Тываэнерго"</t>
  </si>
  <si>
    <t>ПАО ТРК</t>
  </si>
  <si>
    <t>Доля температурного фактора, %</t>
  </si>
  <si>
    <t>Россети Сибирь</t>
  </si>
  <si>
    <t>Россети Сибирь + ТЭ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</si>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</sst>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\+0;\-0"/>
  </numFmts>
  <fonts count="10" x14ac:knownFonts="1">
    <font>
      <sz val="11"/>
      <color theme="1"/>
      <name val="Calibri"/>
      <family val="2"/>
    </font>
    <font>
      <sz val="11"/>
      <color theme="1"/>
      <name val="Calibri"/>
      <family val="2"/>
      <charset val="204"/>
      <scheme val="minor"/>
    </font>
    <font>
      <sz val="13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theme="1"/>
      <name val="Times New Roman"/>
      <family val="1"/>
      <charset val="204"/>
    </font>
    <font>
      <sz val="11"/>
      <color theme="0"/>
      <name val="Times New Roman"/>
      <family val="1"/>
      <charset val="204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2"/>
    </font>
    <font>
      <b/>
      <sz val="11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theme="8" tint="-0.249977111117893"/>
      </patternFill>
    </fill>
    <fill>
      <patternFill patternType="solid">
        <fgColor rgb="FFC4FFA7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8" tint="0.79998168889431442"/>
      </bottom>
      <diagonal/>
    </border>
    <border>
      <left/>
      <right/>
      <top/>
      <bottom style="thin">
        <color theme="8" tint="0.59999389629810485"/>
      </bottom>
      <diagonal/>
    </border>
    <border>
      <left/>
      <right/>
      <top style="thin">
        <color theme="8" tint="0.79998168889431442"/>
      </top>
      <bottom style="thin">
        <color theme="8" tint="0.7999816888943144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8" tint="0.79998168889431442"/>
      </top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1" fillId="0" borderId="0"/>
  </cellStyleXfs>
  <cellXfs count="33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164" fontId="3" fillId="0" borderId="0" xfId="0" applyNumberFormat="1" applyFont="1" applyAlignment="1">
      <alignment horizontal="center" vertical="center"/>
    </xf>
    <xf numFmtId="0" fontId="6" fillId="2" borderId="3" xfId="0" applyFont="1" applyFill="1" applyBorder="1" applyAlignment="1">
      <alignment horizontal="center" vertical="center" wrapText="1"/>
    </xf>
    <xf numFmtId="164" fontId="6" fillId="2" borderId="3" xfId="0" applyNumberFormat="1" applyFont="1" applyFill="1" applyBorder="1" applyAlignment="1">
      <alignment horizontal="center" vertical="center" wrapText="1"/>
    </xf>
    <xf numFmtId="0" fontId="7" fillId="0" borderId="5" xfId="2" applyFont="1" applyFill="1" applyBorder="1" applyAlignment="1">
      <alignment horizontal="center" vertical="center"/>
    </xf>
    <xf numFmtId="0" fontId="7" fillId="0" borderId="6" xfId="2" applyFont="1" applyFill="1" applyBorder="1" applyAlignment="1">
      <alignment horizontal="center" vertical="center"/>
    </xf>
    <xf numFmtId="0" fontId="7" fillId="0" borderId="7" xfId="2" applyFont="1" applyFill="1" applyBorder="1" applyAlignment="1">
      <alignment horizontal="center" vertical="center"/>
    </xf>
    <xf numFmtId="0" fontId="1" fillId="0" borderId="0" xfId="2"/>
    <xf numFmtId="0" fontId="7" fillId="0" borderId="0" xfId="2" applyFont="1" applyFill="1" applyBorder="1" applyAlignment="1">
      <alignment horizontal="center" vertical="center"/>
    </xf>
    <xf numFmtId="0" fontId="1" fillId="0" borderId="8" xfId="2" applyFill="1" applyBorder="1" applyAlignment="1">
      <alignment horizontal="center" vertical="center"/>
    </xf>
    <xf numFmtId="1" fontId="8" fillId="0" borderId="8" xfId="2" applyNumberFormat="1" applyFont="1" applyFill="1" applyBorder="1" applyAlignment="1">
      <alignment horizontal="center" vertical="center" shrinkToFit="1"/>
    </xf>
    <xf numFmtId="2" fontId="8" fillId="0" borderId="8" xfId="2" applyNumberFormat="1" applyFont="1" applyFill="1" applyBorder="1" applyAlignment="1">
      <alignment horizontal="center" vertical="center" shrinkToFit="1"/>
    </xf>
    <xf numFmtId="0" fontId="1" fillId="0" borderId="1" xfId="2" applyFill="1" applyBorder="1" applyAlignment="1">
      <alignment horizontal="center" vertical="center"/>
    </xf>
    <xf numFmtId="1" fontId="8" fillId="0" borderId="1" xfId="2" applyNumberFormat="1" applyFont="1" applyFill="1" applyBorder="1" applyAlignment="1">
      <alignment horizontal="center" vertical="center" shrinkToFit="1"/>
    </xf>
    <xf numFmtId="165" fontId="8" fillId="0" borderId="1" xfId="2" applyNumberFormat="1" applyFont="1" applyFill="1" applyBorder="1" applyAlignment="1">
      <alignment horizontal="center" vertical="center" shrinkToFit="1"/>
    </xf>
    <xf numFmtId="2" fontId="8" fillId="0" borderId="1" xfId="2" applyNumberFormat="1" applyFont="1" applyFill="1" applyBorder="1" applyAlignment="1">
      <alignment horizontal="center" vertical="center" shrinkToFit="1"/>
    </xf>
    <xf numFmtId="0" fontId="5" fillId="0" borderId="4" xfId="0" applyFont="1" applyBorder="1" applyAlignment="1">
      <alignment horizontal="left"/>
    </xf>
    <xf numFmtId="164" fontId="5" fillId="0" borderId="4" xfId="0" applyNumberFormat="1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10" fontId="5" fillId="3" borderId="4" xfId="1" applyNumberFormat="1" applyFont="1" applyFill="1" applyBorder="1" applyAlignment="1">
      <alignment horizontal="center" vertical="center"/>
    </xf>
    <xf numFmtId="0" fontId="5" fillId="0" borderId="9" xfId="0" applyFont="1" applyBorder="1" applyAlignment="1">
      <alignment horizontal="left"/>
    </xf>
    <xf numFmtId="164" fontId="5" fillId="0" borderId="9" xfId="0" applyNumberFormat="1" applyFont="1" applyBorder="1" applyAlignment="1">
      <alignment horizontal="center" vertical="center"/>
    </xf>
    <xf numFmtId="10" fontId="5" fillId="3" borderId="9" xfId="1" applyNumberFormat="1" applyFont="1" applyFill="1" applyBorder="1" applyAlignment="1">
      <alignment horizontal="center" vertical="center"/>
    </xf>
    <xf numFmtId="0" fontId="9" fillId="0" borderId="5" xfId="0" applyFont="1" applyBorder="1" applyAlignment="1">
      <alignment horizontal="left"/>
    </xf>
    <xf numFmtId="164" fontId="9" fillId="0" borderId="6" xfId="0" applyNumberFormat="1" applyFont="1" applyBorder="1" applyAlignment="1">
      <alignment horizontal="center" vertical="center"/>
    </xf>
    <xf numFmtId="10" fontId="9" fillId="3" borderId="7" xfId="1" applyNumberFormat="1" applyFont="1" applyFill="1" applyBorder="1" applyAlignment="1">
      <alignment horizontal="center" vertical="center"/>
    </xf>
    <xf numFmtId="0" fontId="3" fillId="0" borderId="0" xfId="0" pivotButton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/>
    </xf>
  </cellXfs>
  <cellStyles count="3">
    <cellStyle name="Обычный" xfId="0" builtinId="0"/>
    <cellStyle name="Обычный 2" xfId="2" xr:uid="{00000000-0005-0000-0000-000001000000}"/>
    <cellStyle name="Процентный" xfId="1" builtinId="5"/>
  </cellStyles>
  <dxfs count="70"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alignment vertical="center"/>
    </dxf>
    <dxf>
      <alignment horizontal="center"/>
    </dxf>
    <dxf>
      <alignment horizontal="center"/>
    </dxf>
    <dxf>
      <alignment vertical="center"/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font>
        <name val="Times New Roman"/>
      </font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C4FFA7"/>
      <color rgb="FFF8696B"/>
      <color rgb="FF5A8A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microsoft.com/office/2006/relationships/vbaProject" Target="vbaProject.bin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26</xdr:col>
      <xdr:colOff>406399</xdr:colOff>
      <xdr:row>22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">
              <a:extLst>
                <a:ext uri="{FF2B5EF4-FFF2-40B4-BE49-F238E27FC236}">
                  <a16:creationId xmlns:a16="http://schemas.microsoft.com/office/drawing/2014/main" id="{6347DC80-9B2F-CA49-809A-F8708600B2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619500"/>
              <a:ext cx="15744824" cy="1143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 или более поздней версии. Не перемещайте ее и не изменяйте ее размер.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38100</xdr:colOff>
      <xdr:row>22</xdr:row>
      <xdr:rowOff>12700</xdr:rowOff>
    </xdr:from>
    <xdr:to>
      <xdr:col>14</xdr:col>
      <xdr:colOff>508000</xdr:colOff>
      <xdr:row>27</xdr:row>
      <xdr:rowOff>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Дата 2">
              <a:extLst>
                <a:ext uri="{FF2B5EF4-FFF2-40B4-BE49-F238E27FC236}">
                  <a16:creationId xmlns:a16="http://schemas.microsoft.com/office/drawing/2014/main" id="{984A3058-0F91-B145-8A55-9A2F8F14B9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Дата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4813300"/>
              <a:ext cx="742950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101600</xdr:colOff>
      <xdr:row>1</xdr:row>
      <xdr:rowOff>184150</xdr:rowOff>
    </xdr:from>
    <xdr:to>
      <xdr:col>16</xdr:col>
      <xdr:colOff>387350</xdr:colOff>
      <xdr:row>14</xdr:row>
      <xdr:rowOff>82550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Филиал">
              <a:extLst>
                <a:ext uri="{FF2B5EF4-FFF2-40B4-BE49-F238E27FC236}">
                  <a16:creationId xmlns:a16="http://schemas.microsoft.com/office/drawing/2014/main" id="{BD0889CA-7442-D743-833C-5F1A715683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илиал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61200" y="374650"/>
              <a:ext cx="2038350" cy="298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Автор" refreshedDate="44690.691233796293" createdVersion="7" refreshedVersion="7" minRefreshableVersion="3" recordCount="19" xr:uid="{00000000-000A-0000-FFFF-FFFF51000000}">
  <cacheSource type="worksheet">
    <worksheetSource ref="A1:E100000" sheet="Источник"/>
  </cacheSource>
  <cacheFields count="6">
    <cacheField name="№ п/п" numFmtId="0">
      <sharedItems containsString="0" containsBlank="1" containsNumber="1" containsInteger="1" minValue="0" maxValue="17"/>
    </cacheField>
    <cacheField name="Филиал" numFmtId="0">
      <sharedItems containsBlank="1" count="11">
        <s v="Тываэнерго"/>
        <s v="Хакасэнерго"/>
        <s v="ГАЭС"/>
        <s v="Алтайэнерго"/>
        <s v="Читаэнерго"/>
        <s v="Кузбассэнерго"/>
        <s v="Бурятэнерго"/>
        <s v="Красноярскэнерго"/>
        <s v="Омскэнерго"/>
        <m/>
        <s v="Ат" u="1"/>
      </sharedItems>
    </cacheField>
    <cacheField name="Дата" numFmtId="14">
      <sharedItems containsNonDate="0" containsDate="1" containsString="0" containsBlank="1" minDate="2022-05-05T00:00:00" maxDate="2022-05-08T00:00:00" count="3">
        <d v="2022-05-05T00:00:00"/>
        <d v="2022-05-07T00:00:00"/>
        <m/>
      </sharedItems>
    </cacheField>
    <cacheField name="Температура прошлого периода, С" numFmtId="164">
      <sharedItems containsString="0" containsBlank="1" containsNumber="1" minValue="2.9249996999999999" maxValue="19.199998999999998"/>
    </cacheField>
    <cacheField name="Температура текущего периода, С" numFmtId="164">
      <sharedItems containsString="0" containsBlank="1" containsNumber="1" minValue="6.1811113000000004" maxValue="21.494441999999999"/>
    </cacheField>
    <cacheField name="Данамика температуры" numFmtId="0" formula="'Температура текущего периода, С'-'Температура прошлого периода, С'" databaseField="0"/>
  </cacheFields>
  <extLst>
    <ext xmlns:x14="http://schemas.microsoft.com/office/spreadsheetml/2009/9/main" uri="{725AE2AE-9491-48be-B2B4-4EB974FC3084}">
      <x14:pivotCacheDefinition pivotCacheId="32934752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n v="0"/>
    <x v="0"/>
    <x v="0"/>
    <n v="7.1"/>
    <n v="11.411111"/>
  </r>
  <r>
    <n v="1"/>
    <x v="1"/>
    <x v="0"/>
    <n v="6.0416664999999998"/>
    <n v="14.287777"/>
  </r>
  <r>
    <n v="2"/>
    <x v="2"/>
    <x v="0"/>
    <n v="10.450001"/>
    <n v="17.221111000000001"/>
  </r>
  <r>
    <n v="3"/>
    <x v="3"/>
    <x v="0"/>
    <n v="11.887501"/>
    <n v="15.066668"/>
  </r>
  <r>
    <n v="4"/>
    <x v="4"/>
    <x v="0"/>
    <n v="6.4874996999999999"/>
    <n v="7.2966666"/>
  </r>
  <r>
    <n v="5"/>
    <x v="5"/>
    <x v="0"/>
    <n v="9.0500000000000007"/>
    <n v="12.855556"/>
  </r>
  <r>
    <n v="6"/>
    <x v="6"/>
    <x v="0"/>
    <n v="2.9249996999999999"/>
    <n v="6.1811113000000004"/>
  </r>
  <r>
    <n v="7"/>
    <x v="7"/>
    <x v="0"/>
    <n v="6.5499996999999999"/>
    <n v="13.461111000000001"/>
  </r>
  <r>
    <n v="8"/>
    <x v="8"/>
    <x v="0"/>
    <n v="16.287500000000001"/>
    <n v="17.532222999999998"/>
  </r>
  <r>
    <n v="9"/>
    <x v="0"/>
    <x v="1"/>
    <n v="14.8125"/>
    <n v="21.494441999999999"/>
  </r>
  <r>
    <n v="10"/>
    <x v="7"/>
    <x v="1"/>
    <n v="15.525001"/>
    <n v="16.648890000000002"/>
  </r>
  <r>
    <n v="11"/>
    <x v="6"/>
    <x v="1"/>
    <n v="7.1499996000000001"/>
    <n v="16.488890000000001"/>
  </r>
  <r>
    <n v="12"/>
    <x v="5"/>
    <x v="1"/>
    <n v="16.375"/>
    <n v="10.325556000000001"/>
  </r>
  <r>
    <n v="13"/>
    <x v="8"/>
    <x v="1"/>
    <n v="13.599999"/>
    <n v="8.15"/>
  </r>
  <r>
    <n v="14"/>
    <x v="3"/>
    <x v="1"/>
    <n v="18.8125"/>
    <n v="10.400001"/>
  </r>
  <r>
    <n v="15"/>
    <x v="2"/>
    <x v="1"/>
    <n v="19.199998999999998"/>
    <n v="12.387778000000001"/>
  </r>
  <r>
    <n v="16"/>
    <x v="1"/>
    <x v="1"/>
    <n v="14.791667"/>
    <n v="19.187778000000002"/>
  </r>
  <r>
    <n v="17"/>
    <x v="4"/>
    <x v="1"/>
    <n v="5.4125003999999999"/>
    <n v="16.858889999999999"/>
  </r>
  <r>
    <m/>
    <x v="9"/>
    <x v="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Сводная таблица1" cacheId="9" applyNumberFormats="0" applyBorderFormats="0" applyFontFormats="0" applyPatternFormats="0" applyAlignmentFormats="0" applyWidthHeightFormats="1" dataCaption="Значения" updatedVersion="7" minRefreshableVersion="5" itemPrintTitles="1" createdVersion="7" indent="0" outline="1" outlineData="1" multipleFieldFilters="0" rowHeaderCaption="Филиал" fieldListSortAscending="1">
  <location ref="A3:C5" firstHeaderRow="0" firstDataRow="1" firstDataCol="1"/>
  <pivotFields count="6">
    <pivotField showAll="0"/>
    <pivotField axis="axisRow" showAll="0" sortType="ascending">
      <items count="12">
        <item h="1" x="3"/>
        <item h="1" m="1" x="10"/>
        <item h="1" x="6"/>
        <item x="2"/>
        <item h="1" x="7"/>
        <item h="1" x="5"/>
        <item h="1" x="8"/>
        <item h="1" x="0"/>
        <item h="1" x="1"/>
        <item h="1" x="4"/>
        <item h="1" x="9"/>
        <item t="default"/>
      </items>
    </pivotField>
    <pivotField showAll="0">
      <items count="4">
        <item x="0"/>
        <item x="1"/>
        <item x="2"/>
        <item t="default"/>
      </items>
    </pivotField>
    <pivotField dataField="1" showAll="0"/>
    <pivotField dataField="1" showAll="0"/>
    <pivotField dragToRow="0" dragToCol="0" dragToPage="0" showAll="0" defaultSubtotal="0"/>
  </pivotFields>
  <rowFields count="1">
    <field x="1"/>
  </rowFields>
  <rowItems count="2"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Средняя температура прошлого года, C" fld="3" subtotal="average" baseField="0" baseItem="0" numFmtId="164"/>
    <dataField name="Средняя температура текущего года года, C" fld="4" subtotal="average" baseField="0" baseItem="0" numFmtId="164"/>
  </dataFields>
  <formats count="14">
    <format dxfId="69">
      <pivotArea field="1" type="button" dataOnly="0" labelOnly="1" outline="0" axis="axisRow" fieldPosition="0"/>
    </format>
    <format dxfId="6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7">
      <pivotArea field="1" type="button" dataOnly="0" labelOnly="1" outline="0" axis="axisRow" fieldPosition="0"/>
    </format>
    <format dxfId="6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5">
      <pivotArea field="1" type="button" dataOnly="0" labelOnly="1" outline="0" axis="axisRow" fieldPosition="0"/>
    </format>
    <format dxfId="6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1" type="button" dataOnly="0" labelOnly="1" outline="0" axis="axisRow" fieldPosition="0"/>
    </format>
    <format dxfId="60">
      <pivotArea dataOnly="0" labelOnly="1" fieldPosition="0">
        <references count="1">
          <reference field="1" count="1">
            <x v="1"/>
          </reference>
        </references>
      </pivotArea>
    </format>
    <format dxfId="59">
      <pivotArea dataOnly="0" labelOnly="1" grandRow="1" outline="0" fieldPosition="0"/>
    </format>
    <format dxfId="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7">
      <pivotArea outline="0" collapsedLevelsAreSubtotals="1" fieldPosition="0"/>
    </format>
    <format dxfId="56">
      <pivotArea outline="0" collapsedLevelsAreSubtotals="1" fieldPosition="0"/>
    </format>
  </formats>
  <pivotTableStyleInfo name="PivotStyleMedium6" showRowHeaders="1" showColHeaders="1" showRowStripes="0" showColStripes="0" showLastColumn="1"/>
  <filters count="1">
    <filter fld="2" type="dateBetween" evalOrder="-1" id="49" name="Дата">
      <autoFilter ref="A1">
        <filterColumn colId="0">
          <customFilters and="1">
            <customFilter operator="greaterThanOrEqual" val="4468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илиал" xr10:uid="{00000000-0013-0000-FFFF-FFFF01000000}" sourceName="Филиал">
  <pivotTables>
    <pivotTable tabId="3" name="Сводная таблица1"/>
  </pivotTables>
  <data>
    <tabular pivotCacheId="329347520" showMissing="0" crossFilter="none">
      <items count="11">
        <i x="3"/>
        <i x="6"/>
        <i x="2" s="1"/>
        <i x="7"/>
        <i x="5"/>
        <i x="8"/>
        <i x="0"/>
        <i x="1"/>
        <i x="4"/>
        <i x="9"/>
        <i x="1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илиал" xr10:uid="{00000000-0014-0000-FFFF-FFFF01000000}" cache="Срез_Филиал" caption="Филиал" rowHeight="230716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строеннаяВременнаяШкала_Дата" xr10:uid="{00000000-0013-0000-FFFF-FFFF02000000}" sourceName="Дата">
  <pivotTables>
    <pivotTable tabId="3" name="Сводная таблица1"/>
  </pivotTables>
  <state minimalRefreshVersion="6" lastRefreshVersion="6" pivotCacheId="329347520" filterType="dateBetween">
    <selection startDate="2022-05-01T00:00:00" endDate="2022-05-31T00:00:00"/>
    <bounds startDate="2022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" xr10:uid="{00000000-0014-0000-FFFF-FFFF02000000}" cache="ВстроеннаяВременнаяШкала_Дата" caption="Дата" showHeader="0" showSelectionLabel="0" showTimeLevel="0" level="3" selectionLevel="2" scrollPosition="2022-04-19T00:00:00" style="TimeSlicerStyleDark5"/>
  <timeline name="Дата 2" xr10:uid="{00000000-0014-0000-FFFF-FFFF03000000}" cache="ВстроеннаяВременнаяШкала_Дата" caption="Дата" showHeader="0" showSelectionLabel="0" showTimeLevel="0" showHorizontalScrollbar="0" level="2" selectionLevel="2" scrollPosition="2022-01-01T00:00:00"/>
  <timeline name="Дата 3" xr10:uid="{9A86DA25-C4BE-944A-9D42-3B450E897043}" cache="ВстроеннаяВременнаяШкала_Дата" caption="Дата" showHeader="0" showSelectionLabel="0" showTimeLevel="0" showHorizontalScrollbar="0" level="2" selectionLevel="2" scrollPosition="2022-01-01T00:00:00"/>
</timeline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19"/>
  <sheetViews>
    <sheetView workbookViewId="0">
      <selection activeCell="A3" sqref="A3:E19"/>
    </sheetView>
  </sheetViews>
  <sheetFormatPr baseColWidth="10" defaultColWidth="11.5" defaultRowHeight="17" x14ac:dyDescent="0.2"/>
  <cols>
    <col min="1" max="1" width="10.83203125" style="1"/>
    <col min="2" max="2" width="26.1640625" style="4" customWidth="1"/>
    <col min="3" max="3" width="17.83203125" style="2" customWidth="1"/>
    <col min="4" max="5" width="17.5" style="3" customWidth="1"/>
  </cols>
  <sheetData>
    <row r="1" spans="1:5" ht="54" x14ac:dyDescent="0.2">
      <c r="A1" s="1" t="s">
        <v>0</v>
      </c>
      <c r="B1" s="1" t="s">
        <v>1</v>
      </c>
      <c r="C1" s="2" t="s">
        <v>2</v>
      </c>
      <c r="D1" s="3" t="s">
        <v>4</v>
      </c>
      <c r="E1" s="3" t="s">
        <v>5</v>
      </c>
    </row>
    <row r="2" spans="1:5" ht="18" x14ac:dyDescent="0.2">
      <c r="A2" s="1">
        <v>0</v>
      </c>
      <c r="B2" s="4" t="s">
        <v>9</v>
      </c>
      <c r="C2" s="2">
        <v>44686</v>
      </c>
      <c r="D2" s="3">
        <v>7.1</v>
      </c>
      <c r="E2" s="3">
        <v>11.411111</v>
      </c>
    </row>
    <row r="3" spans="1:5" ht="18" x14ac:dyDescent="0.2">
      <c r="A3" s="1">
        <v>1</v>
      </c>
      <c r="B3" s="4" t="s">
        <v>10</v>
      </c>
      <c r="C3" s="2">
        <v>44686</v>
      </c>
      <c r="D3" s="3">
        <v>6.0416664999999998</v>
      </c>
      <c r="E3" s="3">
        <v>14.287777</v>
      </c>
    </row>
    <row r="4" spans="1:5" ht="18" x14ac:dyDescent="0.2">
      <c r="A4" s="1">
        <v>2</v>
      </c>
      <c r="B4" s="4" t="s">
        <v>11</v>
      </c>
      <c r="C4" s="2">
        <v>44686</v>
      </c>
      <c r="D4" s="3">
        <v>10.450001</v>
      </c>
      <c r="E4" s="3">
        <v>17.221111000000001</v>
      </c>
    </row>
    <row r="5" spans="1:5" ht="18" x14ac:dyDescent="0.2">
      <c r="A5" s="1">
        <v>3</v>
      </c>
      <c r="B5" s="4" t="s">
        <v>12</v>
      </c>
      <c r="C5" s="2">
        <v>44686</v>
      </c>
      <c r="D5" s="3">
        <v>11.887501</v>
      </c>
      <c r="E5" s="3">
        <v>15.066668</v>
      </c>
    </row>
    <row r="6" spans="1:5" ht="18" x14ac:dyDescent="0.2">
      <c r="A6" s="1">
        <v>4</v>
      </c>
      <c r="B6" s="4" t="s">
        <v>13</v>
      </c>
      <c r="C6" s="2">
        <v>44686</v>
      </c>
      <c r="D6" s="3">
        <v>6.4874996999999999</v>
      </c>
      <c r="E6" s="3">
        <v>7.2966666</v>
      </c>
    </row>
    <row r="7" spans="1:5" ht="18" x14ac:dyDescent="0.2">
      <c r="A7" s="1">
        <v>5</v>
      </c>
      <c r="B7" s="4" t="s">
        <v>14</v>
      </c>
      <c r="C7" s="2">
        <v>44686</v>
      </c>
      <c r="D7" s="3">
        <v>9.0500000000000007</v>
      </c>
      <c r="E7" s="3">
        <v>12.855556</v>
      </c>
    </row>
    <row r="8" spans="1:5" ht="18" x14ac:dyDescent="0.2">
      <c r="A8" s="1">
        <v>6</v>
      </c>
      <c r="B8" s="4" t="s">
        <v>15</v>
      </c>
      <c r="C8" s="2">
        <v>44686</v>
      </c>
      <c r="D8" s="3">
        <v>2.9249996999999999</v>
      </c>
      <c r="E8" s="3">
        <v>6.1811113000000004</v>
      </c>
    </row>
    <row r="9" spans="1:5" ht="18" x14ac:dyDescent="0.2">
      <c r="A9" s="1">
        <v>7</v>
      </c>
      <c r="B9" s="4" t="s">
        <v>16</v>
      </c>
      <c r="C9" s="2">
        <v>44686</v>
      </c>
      <c r="D9" s="3">
        <v>6.5499996999999999</v>
      </c>
      <c r="E9" s="3">
        <v>13.461111000000001</v>
      </c>
    </row>
    <row r="10" spans="1:5" ht="18" x14ac:dyDescent="0.2">
      <c r="A10" s="1">
        <v>8</v>
      </c>
      <c r="B10" s="4" t="s">
        <v>17</v>
      </c>
      <c r="C10" s="2">
        <v>44686</v>
      </c>
      <c r="D10" s="3">
        <v>16.287500000000001</v>
      </c>
      <c r="E10" s="3">
        <v>17.532222999999998</v>
      </c>
    </row>
    <row r="11" spans="1:5" ht="18" x14ac:dyDescent="0.2">
      <c r="A11" s="1">
        <v>9</v>
      </c>
      <c r="B11" s="4" t="s">
        <v>9</v>
      </c>
      <c r="C11" s="2">
        <v>44688</v>
      </c>
      <c r="D11" s="3">
        <v>14.8125</v>
      </c>
      <c r="E11" s="3">
        <v>21.494441999999999</v>
      </c>
    </row>
    <row r="12" spans="1:5" ht="18" x14ac:dyDescent="0.2">
      <c r="A12" s="1">
        <v>10</v>
      </c>
      <c r="B12" s="4" t="s">
        <v>16</v>
      </c>
      <c r="C12" s="2">
        <v>44688</v>
      </c>
      <c r="D12" s="3">
        <v>15.525001</v>
      </c>
      <c r="E12" s="3">
        <v>16.648890000000002</v>
      </c>
    </row>
    <row r="13" spans="1:5" ht="18" x14ac:dyDescent="0.2">
      <c r="A13" s="1">
        <v>11</v>
      </c>
      <c r="B13" s="4" t="s">
        <v>15</v>
      </c>
      <c r="C13" s="2">
        <v>44688</v>
      </c>
      <c r="D13" s="3">
        <v>7.1499996000000001</v>
      </c>
      <c r="E13" s="3">
        <v>16.488890000000001</v>
      </c>
    </row>
    <row r="14" spans="1:5" ht="18" x14ac:dyDescent="0.2">
      <c r="A14" s="1">
        <v>12</v>
      </c>
      <c r="B14" s="4" t="s">
        <v>14</v>
      </c>
      <c r="C14" s="2">
        <v>44688</v>
      </c>
      <c r="D14" s="3">
        <v>16.375</v>
      </c>
      <c r="E14" s="3">
        <v>10.325556000000001</v>
      </c>
    </row>
    <row r="15" spans="1:5" ht="18" x14ac:dyDescent="0.2">
      <c r="A15" s="1">
        <v>13</v>
      </c>
      <c r="B15" s="4" t="s">
        <v>17</v>
      </c>
      <c r="C15" s="2">
        <v>44688</v>
      </c>
      <c r="D15" s="3">
        <v>13.599999</v>
      </c>
      <c r="E15" s="3">
        <v>8.15</v>
      </c>
    </row>
    <row r="16" spans="1:5" ht="18" x14ac:dyDescent="0.2">
      <c r="A16" s="1">
        <v>14</v>
      </c>
      <c r="B16" s="4" t="s">
        <v>12</v>
      </c>
      <c r="C16" s="2">
        <v>44688</v>
      </c>
      <c r="D16" s="3">
        <v>18.8125</v>
      </c>
      <c r="E16" s="3">
        <v>10.400001</v>
      </c>
    </row>
    <row r="17" spans="1:5" ht="18" x14ac:dyDescent="0.2">
      <c r="A17" s="1">
        <v>15</v>
      </c>
      <c r="B17" s="4" t="s">
        <v>11</v>
      </c>
      <c r="C17" s="2">
        <v>44688</v>
      </c>
      <c r="D17" s="3">
        <v>19.199998999999998</v>
      </c>
      <c r="E17" s="3">
        <v>12.387778000000001</v>
      </c>
    </row>
    <row r="18" spans="1:5" ht="18" x14ac:dyDescent="0.2">
      <c r="A18" s="1">
        <v>16</v>
      </c>
      <c r="B18" s="4" t="s">
        <v>10</v>
      </c>
      <c r="C18" s="2">
        <v>44688</v>
      </c>
      <c r="D18" s="3">
        <v>14.791667</v>
      </c>
      <c r="E18" s="3">
        <v>19.187778000000002</v>
      </c>
    </row>
    <row r="19" spans="1:5" ht="18" x14ac:dyDescent="0.2">
      <c r="A19" s="1">
        <v>17</v>
      </c>
      <c r="B19" s="4" t="s">
        <v>13</v>
      </c>
      <c r="C19" s="2">
        <v>44688</v>
      </c>
      <c r="D19" s="3">
        <v>5.4125003999999999</v>
      </c>
      <c r="E19" s="3">
        <v>16.858889999999999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G39"/>
  <sheetViews>
    <sheetView workbookViewId="0">
      <selection activeCell="G2" sqref="G2"/>
    </sheetView>
  </sheetViews>
  <sheetFormatPr baseColWidth="10" defaultColWidth="9.1640625" defaultRowHeight="15" x14ac:dyDescent="0.2"/>
  <cols>
    <col min="1" max="1" width="21.5" style="11" customWidth="1"/>
    <col min="2" max="4" width="15.1640625" style="11" customWidth="1"/>
    <col min="5" max="16384" width="9.1640625" style="11"/>
  </cols>
  <sheetData>
    <row r="1" spans="1:7" ht="16" thickBot="1" x14ac:dyDescent="0.25">
      <c r="A1" s="8" t="s">
        <v>1</v>
      </c>
      <c r="B1" s="9" t="s">
        <v>18</v>
      </c>
      <c r="C1" s="9" t="s">
        <v>19</v>
      </c>
      <c r="D1" s="10" t="s">
        <v>20</v>
      </c>
      <c r="G1" s="12" t="s">
        <v>21</v>
      </c>
    </row>
    <row r="2" spans="1:7" x14ac:dyDescent="0.2">
      <c r="A2" s="13" t="s">
        <v>12</v>
      </c>
      <c r="B2" s="14">
        <v>-50</v>
      </c>
      <c r="C2" s="14">
        <v>-15</v>
      </c>
      <c r="D2" s="15">
        <v>-0.54</v>
      </c>
      <c r="G2" s="11">
        <f>COUNT(B:B)</f>
        <v>38</v>
      </c>
    </row>
    <row r="3" spans="1:7" x14ac:dyDescent="0.2">
      <c r="A3" s="16" t="s">
        <v>12</v>
      </c>
      <c r="B3" s="17">
        <v>-15</v>
      </c>
      <c r="C3" s="18">
        <v>20</v>
      </c>
      <c r="D3" s="19">
        <v>-0.44</v>
      </c>
    </row>
    <row r="4" spans="1:7" x14ac:dyDescent="0.2">
      <c r="A4" s="16" t="s">
        <v>12</v>
      </c>
      <c r="B4" s="18">
        <v>20</v>
      </c>
      <c r="C4" s="18">
        <v>40</v>
      </c>
      <c r="D4" s="19">
        <v>0.82</v>
      </c>
    </row>
    <row r="5" spans="1:7" x14ac:dyDescent="0.2">
      <c r="A5" s="16" t="s">
        <v>15</v>
      </c>
      <c r="B5" s="17">
        <v>-50</v>
      </c>
      <c r="C5" s="17">
        <v>-25</v>
      </c>
      <c r="D5" s="19">
        <v>-0.48</v>
      </c>
    </row>
    <row r="6" spans="1:7" x14ac:dyDescent="0.2">
      <c r="A6" s="16" t="s">
        <v>15</v>
      </c>
      <c r="B6" s="17">
        <v>-25</v>
      </c>
      <c r="C6" s="17">
        <v>-12</v>
      </c>
      <c r="D6" s="19">
        <v>-0.7</v>
      </c>
    </row>
    <row r="7" spans="1:7" x14ac:dyDescent="0.2">
      <c r="A7" s="16" t="s">
        <v>15</v>
      </c>
      <c r="B7" s="17">
        <v>-12</v>
      </c>
      <c r="C7" s="18">
        <v>9</v>
      </c>
      <c r="D7" s="19">
        <v>-0.73</v>
      </c>
    </row>
    <row r="8" spans="1:7" x14ac:dyDescent="0.2">
      <c r="A8" s="16" t="s">
        <v>15</v>
      </c>
      <c r="B8" s="17">
        <v>9</v>
      </c>
      <c r="C8" s="18">
        <v>20</v>
      </c>
      <c r="D8" s="19">
        <v>-0.47</v>
      </c>
    </row>
    <row r="9" spans="1:7" x14ac:dyDescent="0.2">
      <c r="A9" s="16" t="s">
        <v>15</v>
      </c>
      <c r="B9" s="18">
        <v>20</v>
      </c>
      <c r="C9" s="18">
        <v>40</v>
      </c>
      <c r="D9" s="19">
        <v>0.55000000000000004</v>
      </c>
    </row>
    <row r="10" spans="1:7" x14ac:dyDescent="0.2">
      <c r="A10" s="16" t="s">
        <v>16</v>
      </c>
      <c r="B10" s="17">
        <v>-50</v>
      </c>
      <c r="C10" s="17">
        <v>-20</v>
      </c>
      <c r="D10" s="19">
        <v>-0.22</v>
      </c>
    </row>
    <row r="11" spans="1:7" x14ac:dyDescent="0.2">
      <c r="A11" s="16" t="s">
        <v>16</v>
      </c>
      <c r="B11" s="17">
        <v>-20</v>
      </c>
      <c r="C11" s="17">
        <v>-5</v>
      </c>
      <c r="D11" s="19">
        <v>-0.32</v>
      </c>
    </row>
    <row r="12" spans="1:7" x14ac:dyDescent="0.2">
      <c r="A12" s="16" t="s">
        <v>16</v>
      </c>
      <c r="B12" s="17">
        <v>-5</v>
      </c>
      <c r="C12" s="18">
        <v>17</v>
      </c>
      <c r="D12" s="19">
        <v>-0.35</v>
      </c>
    </row>
    <row r="13" spans="1:7" x14ac:dyDescent="0.2">
      <c r="A13" s="16" t="s">
        <v>16</v>
      </c>
      <c r="B13" s="17">
        <v>17</v>
      </c>
      <c r="C13" s="18">
        <v>40</v>
      </c>
      <c r="D13" s="19">
        <v>0.23</v>
      </c>
    </row>
    <row r="14" spans="1:7" x14ac:dyDescent="0.2">
      <c r="A14" s="16" t="s">
        <v>22</v>
      </c>
      <c r="B14" s="17">
        <v>-50</v>
      </c>
      <c r="C14" s="17">
        <v>-20</v>
      </c>
      <c r="D14" s="19">
        <v>-0.28000000000000003</v>
      </c>
    </row>
    <row r="15" spans="1:7" x14ac:dyDescent="0.2">
      <c r="A15" s="16" t="s">
        <v>22</v>
      </c>
      <c r="B15" s="17">
        <v>-20</v>
      </c>
      <c r="C15" s="18">
        <v>18</v>
      </c>
      <c r="D15" s="19">
        <v>-0.28999999999999998</v>
      </c>
    </row>
    <row r="16" spans="1:7" x14ac:dyDescent="0.2">
      <c r="A16" s="16" t="s">
        <v>22</v>
      </c>
      <c r="B16" s="18">
        <v>18</v>
      </c>
      <c r="C16" s="18">
        <v>40</v>
      </c>
      <c r="D16" s="19">
        <v>0.18</v>
      </c>
    </row>
    <row r="17" spans="1:4" x14ac:dyDescent="0.2">
      <c r="A17" s="16" t="s">
        <v>17</v>
      </c>
      <c r="B17" s="17">
        <v>-50</v>
      </c>
      <c r="C17" s="17">
        <v>-5</v>
      </c>
      <c r="D17" s="19">
        <v>-0.49</v>
      </c>
    </row>
    <row r="18" spans="1:4" x14ac:dyDescent="0.2">
      <c r="A18" s="16" t="s">
        <v>17</v>
      </c>
      <c r="B18" s="17">
        <v>-5</v>
      </c>
      <c r="C18" s="18">
        <v>10</v>
      </c>
      <c r="D18" s="19">
        <v>-0.62</v>
      </c>
    </row>
    <row r="19" spans="1:4" x14ac:dyDescent="0.2">
      <c r="A19" s="16" t="s">
        <v>17</v>
      </c>
      <c r="B19" s="18">
        <v>10</v>
      </c>
      <c r="C19" s="18">
        <v>20</v>
      </c>
      <c r="D19" s="19">
        <v>-0.25</v>
      </c>
    </row>
    <row r="20" spans="1:4" x14ac:dyDescent="0.2">
      <c r="A20" s="16" t="s">
        <v>17</v>
      </c>
      <c r="B20" s="18">
        <v>20</v>
      </c>
      <c r="C20" s="18">
        <v>40</v>
      </c>
      <c r="D20" s="19">
        <v>0.31</v>
      </c>
    </row>
    <row r="21" spans="1:4" x14ac:dyDescent="0.2">
      <c r="A21" s="16" t="s">
        <v>10</v>
      </c>
      <c r="B21" s="17">
        <v>-50</v>
      </c>
      <c r="C21" s="17">
        <v>-20</v>
      </c>
      <c r="D21" s="19">
        <v>-0.16</v>
      </c>
    </row>
    <row r="22" spans="1:4" x14ac:dyDescent="0.2">
      <c r="A22" s="16" t="s">
        <v>10</v>
      </c>
      <c r="B22" s="17">
        <v>-20</v>
      </c>
      <c r="C22" s="17">
        <v>-10</v>
      </c>
      <c r="D22" s="19">
        <v>-0.18</v>
      </c>
    </row>
    <row r="23" spans="1:4" x14ac:dyDescent="0.2">
      <c r="A23" s="16" t="s">
        <v>10</v>
      </c>
      <c r="B23" s="17">
        <v>-10</v>
      </c>
      <c r="C23" s="18">
        <v>10</v>
      </c>
      <c r="D23" s="19">
        <v>-0.19</v>
      </c>
    </row>
    <row r="24" spans="1:4" x14ac:dyDescent="0.2">
      <c r="A24" s="16" t="s">
        <v>10</v>
      </c>
      <c r="B24" s="17">
        <v>10</v>
      </c>
      <c r="C24" s="18">
        <v>20</v>
      </c>
      <c r="D24" s="19">
        <v>-0.12</v>
      </c>
    </row>
    <row r="25" spans="1:4" x14ac:dyDescent="0.2">
      <c r="A25" s="16" t="s">
        <v>10</v>
      </c>
      <c r="B25" s="18">
        <v>20</v>
      </c>
      <c r="C25" s="18">
        <v>40</v>
      </c>
      <c r="D25" s="19">
        <v>-7.0000000000000007E-2</v>
      </c>
    </row>
    <row r="26" spans="1:4" x14ac:dyDescent="0.2">
      <c r="A26" s="16" t="s">
        <v>13</v>
      </c>
      <c r="B26" s="17">
        <v>-50</v>
      </c>
      <c r="C26" s="17">
        <v>-20</v>
      </c>
      <c r="D26" s="19">
        <v>-0.53</v>
      </c>
    </row>
    <row r="27" spans="1:4" x14ac:dyDescent="0.2">
      <c r="A27" s="16" t="s">
        <v>13</v>
      </c>
      <c r="B27" s="17">
        <v>-20</v>
      </c>
      <c r="C27" s="18">
        <v>5</v>
      </c>
      <c r="D27" s="19">
        <v>-0.57999999999999996</v>
      </c>
    </row>
    <row r="28" spans="1:4" x14ac:dyDescent="0.2">
      <c r="A28" s="16" t="s">
        <v>13</v>
      </c>
      <c r="B28" s="18">
        <v>5</v>
      </c>
      <c r="C28" s="18">
        <v>15</v>
      </c>
      <c r="D28" s="19">
        <v>-0.59</v>
      </c>
    </row>
    <row r="29" spans="1:4" x14ac:dyDescent="0.2">
      <c r="A29" s="16" t="s">
        <v>13</v>
      </c>
      <c r="B29" s="18">
        <v>15</v>
      </c>
      <c r="C29" s="18">
        <v>40</v>
      </c>
      <c r="D29" s="19">
        <v>0.48</v>
      </c>
    </row>
    <row r="30" spans="1:4" x14ac:dyDescent="0.2">
      <c r="A30" s="16" t="s">
        <v>11</v>
      </c>
      <c r="B30" s="17">
        <v>-50</v>
      </c>
      <c r="C30" s="17">
        <v>-15</v>
      </c>
      <c r="D30" s="19">
        <v>-0.54</v>
      </c>
    </row>
    <row r="31" spans="1:4" x14ac:dyDescent="0.2">
      <c r="A31" s="16" t="s">
        <v>11</v>
      </c>
      <c r="B31" s="17">
        <v>-15</v>
      </c>
      <c r="C31" s="18">
        <v>20</v>
      </c>
      <c r="D31" s="19">
        <v>-0.44</v>
      </c>
    </row>
    <row r="32" spans="1:4" x14ac:dyDescent="0.2">
      <c r="A32" s="16" t="s">
        <v>11</v>
      </c>
      <c r="B32" s="18">
        <v>20</v>
      </c>
      <c r="C32" s="18">
        <v>40</v>
      </c>
      <c r="D32" s="19">
        <v>0.82</v>
      </c>
    </row>
    <row r="33" spans="1:4" x14ac:dyDescent="0.2">
      <c r="A33" s="16" t="s">
        <v>23</v>
      </c>
      <c r="B33" s="17">
        <v>-50</v>
      </c>
      <c r="C33" s="17">
        <v>-30</v>
      </c>
      <c r="D33" s="19">
        <v>-0.41</v>
      </c>
    </row>
    <row r="34" spans="1:4" x14ac:dyDescent="0.2">
      <c r="A34" s="16" t="s">
        <v>23</v>
      </c>
      <c r="B34" s="17">
        <v>-30</v>
      </c>
      <c r="C34" s="17">
        <v>-15</v>
      </c>
      <c r="D34" s="19">
        <v>-0.67</v>
      </c>
    </row>
    <row r="35" spans="1:4" x14ac:dyDescent="0.2">
      <c r="A35" s="16" t="s">
        <v>23</v>
      </c>
      <c r="B35" s="17">
        <v>-15</v>
      </c>
      <c r="C35" s="18">
        <v>20</v>
      </c>
      <c r="D35" s="19">
        <v>-1.2</v>
      </c>
    </row>
    <row r="36" spans="1:4" x14ac:dyDescent="0.2">
      <c r="A36" s="16" t="s">
        <v>23</v>
      </c>
      <c r="B36" s="17">
        <v>20</v>
      </c>
      <c r="C36" s="18">
        <v>40</v>
      </c>
      <c r="D36" s="19">
        <v>0.36</v>
      </c>
    </row>
    <row r="37" spans="1:4" x14ac:dyDescent="0.2">
      <c r="A37" s="16" t="s">
        <v>24</v>
      </c>
      <c r="B37" s="17">
        <v>-50</v>
      </c>
      <c r="C37" s="18">
        <v>-20</v>
      </c>
      <c r="D37" s="19">
        <v>-0.32</v>
      </c>
    </row>
    <row r="38" spans="1:4" x14ac:dyDescent="0.2">
      <c r="A38" s="16" t="s">
        <v>24</v>
      </c>
      <c r="B38" s="17">
        <v>-20</v>
      </c>
      <c r="C38" s="18">
        <v>20</v>
      </c>
      <c r="D38" s="19">
        <v>-0.5</v>
      </c>
    </row>
    <row r="39" spans="1:4" x14ac:dyDescent="0.2">
      <c r="A39" s="16" t="s">
        <v>24</v>
      </c>
      <c r="B39" s="18">
        <v>20</v>
      </c>
      <c r="C39" s="18">
        <v>40</v>
      </c>
      <c r="D39" s="19">
        <v>0.21</v>
      </c>
    </row>
  </sheetData>
  <sheetProtection formatCells="0" formatColumns="0" formatRows="0" insertColumns="0" insertRows="0" insertHyperlinks="0" deleteColumns="0" deleteRows="0" sort="0" autoFilter="0" pivotTables="0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3:N14"/>
  <sheetViews>
    <sheetView tabSelected="1" topLeftCell="J1" workbookViewId="0">
      <selection activeCell="S6" sqref="S6"/>
    </sheetView>
  </sheetViews>
  <sheetFormatPr baseColWidth="10" defaultColWidth="11.5" defaultRowHeight="15" x14ac:dyDescent="0.2"/>
  <cols>
    <col min="1" max="1" width="20.33203125" hidden="1" customWidth="1"/>
    <col min="2" max="3" width="23.6640625" hidden="1" customWidth="1"/>
    <col min="4" max="4" width="23.6640625" style="5" hidden="1" customWidth="1"/>
    <col min="5" max="7" width="0" hidden="1" customWidth="1"/>
    <col min="8" max="8" width="7.5" hidden="1" customWidth="1"/>
    <col min="9" max="9" width="11.5" hidden="1" customWidth="1"/>
    <col min="10" max="10" width="21.33203125" customWidth="1"/>
    <col min="11" max="13" width="17.6640625" customWidth="1"/>
    <col min="14" max="14" width="17" customWidth="1"/>
  </cols>
  <sheetData>
    <row r="3" spans="1:14" ht="60" x14ac:dyDescent="0.2">
      <c r="A3" s="30" t="s">
        <v>1</v>
      </c>
      <c r="B3" s="31" t="s">
        <v>6</v>
      </c>
      <c r="C3" s="31" t="s">
        <v>7</v>
      </c>
      <c r="D3"/>
      <c r="J3" s="22" t="s">
        <v>1</v>
      </c>
      <c r="K3" s="6" t="s">
        <v>6</v>
      </c>
      <c r="L3" s="6" t="s">
        <v>7</v>
      </c>
      <c r="M3" s="7" t="s">
        <v>8</v>
      </c>
      <c r="N3" s="7" t="s">
        <v>25</v>
      </c>
    </row>
    <row r="4" spans="1:14" x14ac:dyDescent="0.2">
      <c r="A4" s="32" t="s">
        <v>11</v>
      </c>
      <c r="B4" s="5">
        <v>14.824999999999999</v>
      </c>
      <c r="C4" s="5">
        <v>14.804444500000001</v>
      </c>
      <c r="D4"/>
      <c r="J4" s="20" t="s">
        <v>12</v>
      </c>
      <c r="K4" s="21" t="e">
        <f>GETPIVOTDATA("Средняя температура прошлого года, C",$A$3,"Филиал",J4)</f>
        <v>#REF!</v>
      </c>
      <c r="L4" s="21" t="e">
        <f>GETPIVOTDATA("Средняя температура текущего года года, C",$A$3,"Филиал",J4)</f>
        <v>#REF!</v>
      </c>
      <c r="M4" s="21" t="e">
        <f>L4-K4</f>
        <v>#REF!</v>
      </c>
      <c r="N4" s="23" t="e">
        <f>TFACTOR(J4,1,K4,L4)</f>
        <v>#VALUE!</v>
      </c>
    </row>
    <row r="5" spans="1:14" x14ac:dyDescent="0.2">
      <c r="A5" s="32" t="s">
        <v>3</v>
      </c>
      <c r="B5" s="5">
        <v>14.824999999999999</v>
      </c>
      <c r="C5" s="5">
        <v>14.804444500000001</v>
      </c>
      <c r="D5"/>
      <c r="J5" s="20" t="s">
        <v>15</v>
      </c>
      <c r="K5" s="21" t="e">
        <f t="shared" ref="K5:K10" si="0">GETPIVOTDATA("Средняя температура прошлого года, C",$A$3,"Филиал",J5)</f>
        <v>#REF!</v>
      </c>
      <c r="L5" s="21" t="e">
        <f t="shared" ref="L5:L11" si="1">GETPIVOTDATA("Средняя температура текущего года года, C",$A$3,"Филиал",J5)</f>
        <v>#REF!</v>
      </c>
      <c r="M5" s="21" t="e">
        <f t="shared" ref="M5:M14" si="2">L5-K5</f>
        <v>#REF!</v>
      </c>
      <c r="N5" s="23" t="e">
        <f t="shared" ref="N5:N12" si="3">TFACTOR(J5,1,K5,L5)</f>
        <v>#VALUE!</v>
      </c>
    </row>
    <row r="6" spans="1:14" x14ac:dyDescent="0.2">
      <c r="D6"/>
      <c r="J6" s="20" t="s">
        <v>11</v>
      </c>
      <c r="K6" s="21">
        <f t="shared" si="0"/>
        <v>14.824999999999999</v>
      </c>
      <c r="L6" s="21">
        <f t="shared" si="1"/>
        <v>14.804444500000001</v>
      </c>
      <c r="M6" s="21">
        <f t="shared" si="2"/>
        <v>-2.0555499999998617E-2</v>
      </c>
      <c r="N6" s="23">
        <f t="shared" si="3"/>
        <v>9.0444200000039388E-5</v>
      </c>
    </row>
    <row r="7" spans="1:14" x14ac:dyDescent="0.2">
      <c r="D7"/>
      <c r="J7" s="20" t="s">
        <v>22</v>
      </c>
      <c r="K7" s="21" t="e">
        <f>GETPIVOTDATA("Средняя температура прошлого года, C",$A$3,"Филиал","Кузбассэнерго")</f>
        <v>#REF!</v>
      </c>
      <c r="L7" s="21" t="e">
        <f>GETPIVOTDATA("Средняя температура текущего года года, C",$A$3,"Филиал","Кузбассэнерго")</f>
        <v>#REF!</v>
      </c>
      <c r="M7" s="21" t="e">
        <f t="shared" si="2"/>
        <v>#REF!</v>
      </c>
      <c r="N7" s="23" t="e">
        <f t="shared" si="3"/>
        <v>#VALUE!</v>
      </c>
    </row>
    <row r="8" spans="1:14" x14ac:dyDescent="0.2">
      <c r="D8"/>
      <c r="J8" s="20" t="s">
        <v>16</v>
      </c>
      <c r="K8" s="21" t="e">
        <f t="shared" si="0"/>
        <v>#REF!</v>
      </c>
      <c r="L8" s="21" t="e">
        <f t="shared" si="1"/>
        <v>#REF!</v>
      </c>
      <c r="M8" s="21" t="e">
        <f t="shared" si="2"/>
        <v>#REF!</v>
      </c>
      <c r="N8" s="23" t="e">
        <f t="shared" si="3"/>
        <v>#VALUE!</v>
      </c>
    </row>
    <row r="9" spans="1:14" x14ac:dyDescent="0.2">
      <c r="D9"/>
      <c r="J9" s="20" t="s">
        <v>17</v>
      </c>
      <c r="K9" s="21" t="e">
        <f t="shared" si="0"/>
        <v>#REF!</v>
      </c>
      <c r="L9" s="21" t="e">
        <f t="shared" si="1"/>
        <v>#REF!</v>
      </c>
      <c r="M9" s="21" t="e">
        <f t="shared" si="2"/>
        <v>#REF!</v>
      </c>
      <c r="N9" s="23" t="e">
        <f t="shared" si="3"/>
        <v>#VALUE!</v>
      </c>
    </row>
    <row r="10" spans="1:14" x14ac:dyDescent="0.2">
      <c r="D10"/>
      <c r="J10" s="20" t="s">
        <v>10</v>
      </c>
      <c r="K10" s="21" t="e">
        <f t="shared" si="0"/>
        <v>#REF!</v>
      </c>
      <c r="L10" s="21" t="e">
        <f t="shared" si="1"/>
        <v>#REF!</v>
      </c>
      <c r="M10" s="21" t="e">
        <f t="shared" si="2"/>
        <v>#REF!</v>
      </c>
      <c r="N10" s="23" t="e">
        <f t="shared" si="3"/>
        <v>#VALUE!</v>
      </c>
    </row>
    <row r="11" spans="1:14" x14ac:dyDescent="0.2">
      <c r="D11"/>
      <c r="J11" s="20" t="s">
        <v>13</v>
      </c>
      <c r="K11" s="21" t="e">
        <f>GETPIVOTDATA("Средняя температура прошлого года, C",$A$3,"Филиал",J11)</f>
        <v>#REF!</v>
      </c>
      <c r="L11" s="21" t="e">
        <f t="shared" si="1"/>
        <v>#REF!</v>
      </c>
      <c r="M11" s="21" t="e">
        <f t="shared" si="2"/>
        <v>#REF!</v>
      </c>
      <c r="N11" s="23" t="e">
        <f t="shared" si="3"/>
        <v>#VALUE!</v>
      </c>
    </row>
    <row r="12" spans="1:14" ht="16" thickBot="1" x14ac:dyDescent="0.25">
      <c r="D12"/>
      <c r="J12" s="24" t="s">
        <v>23</v>
      </c>
      <c r="K12" s="25" t="e">
        <f>GETPIVOTDATA("Средняя температура прошлого года, C",$A$3,"Филиал","Тываэнерго")</f>
        <v>#REF!</v>
      </c>
      <c r="L12" s="25" t="e">
        <f>GETPIVOTDATA("Средняя температура текущего года года, C",$A$3,"Филиал","Тываэнерго")</f>
        <v>#REF!</v>
      </c>
      <c r="M12" s="25" t="e">
        <f t="shared" si="2"/>
        <v>#REF!</v>
      </c>
      <c r="N12" s="26" t="e">
        <f t="shared" si="3"/>
        <v>#VALUE!</v>
      </c>
    </row>
    <row r="13" spans="1:14" ht="16" thickBot="1" x14ac:dyDescent="0.25">
      <c r="D13"/>
      <c r="J13" s="27" t="s">
        <v>26</v>
      </c>
      <c r="K13" s="28" t="e">
        <f>AVERAGE(K4:K11)</f>
        <v>#REF!</v>
      </c>
      <c r="L13" s="28" t="e">
        <f>AVERAGE(L4:L11)</f>
        <v>#REF!</v>
      </c>
      <c r="M13" s="28" t="e">
        <f t="shared" si="2"/>
        <v>#REF!</v>
      </c>
      <c r="N13" s="29" t="s">
        <v>28</v>
      </c>
    </row>
    <row r="14" spans="1:14" ht="16" thickBot="1" x14ac:dyDescent="0.25">
      <c r="D14"/>
      <c r="J14" s="27" t="s">
        <v>27</v>
      </c>
      <c r="K14" s="28" t="e">
        <f>AVERAGE(K4:K12)</f>
        <v>#REF!</v>
      </c>
      <c r="L14" s="28" t="e">
        <f>AVERAGE(L4:L12)</f>
        <v>#REF!</v>
      </c>
      <c r="M14" s="28" t="e">
        <f t="shared" si="2"/>
        <v>#REF!</v>
      </c>
      <c r="N14" s="29" t="s">
        <v>28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Источник</vt:lpstr>
      <vt:lpstr>Коэффициенты</vt:lpstr>
      <vt:lpstr>Расчет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2022-05-09T09:36:56Z</dcterms:modified>
</cp:coreProperties>
</file>